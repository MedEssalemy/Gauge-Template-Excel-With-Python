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liteBook\Desktop\"/>
    </mc:Choice>
  </mc:AlternateContent>
  <xr:revisionPtr revIDLastSave="0" documentId="13_ncr:1_{DE230CD7-B639-4D03-BC2B-6244BB9F27D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ython Gauge" sheetId="29" r:id="rId1"/>
    <sheet name="Gauge with Needle" sheetId="26" r:id="rId2"/>
  </sheets>
  <definedNames>
    <definedName name="decimalSep">'Python Gauge'!$L$4</definedName>
    <definedName name="gaugeLabel">'Gauge with Needle'!$L$3</definedName>
    <definedName name="gaugeValue">'Python Gauge'!$C$2</definedName>
    <definedName name="labelFormat">'Python Gauge'!$L$3</definedName>
    <definedName name="milestonesCol">milestonesTargets3[Milestone]</definedName>
    <definedName name="progressValue">'Gauge with Needle'!$C$3</definedName>
    <definedName name="projectMilestone">'Gauge with Needle'!$C$2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26" l="1"/>
  <c r="L5" i="29" a="1"/>
  <c r="L5" i="29" l="1"/>
  <c r="L4" i="26" a="1"/>
  <c r="L4" i="26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3"/>
        </ext>
      </extLst>
    </bk>
    <bk>
      <extLst>
        <ext uri="{3e2802c4-a4d2-4d8b-9148-e3be6c30e623}">
          <xlrd:rvb i="7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import matplotlib.pyplot as plt
import numpy as np
# CONFIGURATION
# Visual Configuration
FIGURE_SIZE = (16, 9)
FIGURE_DPI = 300
# Section donut (thin, lower layer)
SECTION_INNER_RADIUS = 0.68
SECTION_OUTER_RADIUS = 0.73
SECTION_EDGE_COLOR = "white"
SECTION_EDGE_WIDTH = 3
# Progress donut (thick, upper layer)
PROGRESS_INNER_RADIUS = 0.75
PROGRESS_OUTER_RADIUS = 1.0
PROGRESS_EDGE_COLOR = "white"
PROGRESS_EDGE_WIDTH = 0
# Performance Configuration
SEGMENT_RESOLUTION = 200
# Value Label Configuration
VALUE_LABEL_RADIUS = 0.1
VALUE_LABEL_FONT_SIZE = 45
VALUE_LABEL_COLOR = '#393939'
VALUE_LABEL_FONT_WEIGHT = 'bold'
VALUE_LABEL_FORMAT = xl(%P2%)
# Progress background
PROGRESS_BACKGROUND_COLOR = '#E0E0E0'
# Gauge Angles (semicircular)
GAUGE_ANGLE_START = 180  # Left side
GAUGE_ANGLE_END = 0      # Right side
# DATA LOADING
# Load gauge value
gauge_value = float(xl(%P3%))
# Load sections data from Excel table
sections_data = xl(%P4%, headers=False)
sections_rows = sections_data.values
# Parse sections
sections = []
for row in sections_rows:
    section_desc = str(row[0])
    section_span = float(row[1])
    section_color = str(row[2]).strip()
    sections.append({
        'description': section_desc,
        'span': section_span,
        'color': section_color
    })
# Calculate total range - starting from 0
total_span = sum(s['span'] for s in sections)
gauge_min = 0.0
gauge_max = total_span
# HELPER FUNCTIONS
def value_to_angle(val):
    """Convert value to angle in degrees."""
    val = max(gauge_min, min(val, gauge_max))
    normalized = (val - gauge_min) / (gauge_max - gauge_min)
    # Fixed: progress from left (180°) to right (0°)
    angle = GAUGE_ANGLE_START - (normalized * (GAUGE_ANGLE_START - GAUGE_ANGLE_END))
    return angle
def get_section_color_for_value(val):
    """Get the color of the section where the value falls."""
    cumulative = gauge_min
    for section in sections:
        section_end = cumulative + section['span']
        if cumulative &lt;= val &lt;= section_end:
            return section['color']
        cumulative = section_end
    return sections[-1]['color']
def format_number(num, fmt="decimal1"):
    """
    Number formatter for gauge progress values.
    Optimized for displaying metrics, KPIs, and progress indicators.
    """
    # Load decimal separator from Excel
    decimal_sep_tag = str(xl(%P5%))
    if decimal_sep_tag == "dot":
        decimal_sep = "."
        thousand_sep = ","
    else:
        decimal_sep = ","
        thousand_sep = " "
    # Helper function to apply separators
    def apply_separators(value_str):
        """Apply thousand and decimal separators to formatted string"""
        if '.' in value_str:
            int_part, dec_part = value_str.split('.')
            int_part = f"{int(int_part):,}".replace(',', thousand_sep)
            return f"{int_part}{decimal_sep}{dec_part}"
        else:
            return f"{int(float(value_str)):,}".replace(',', thousand_sep)
    # === INTEGER FORMAT ===
    if fmt == "integer":
        return f"{int(round(num)):,}".replace(',', thousand_sep)
    # === DECIMAL FORMATS ===
    if fmt == "decimal1":
        return apply_separators(f"{num:.1f}")
    if fmt == "decimal2":
        return apply_separators(f"{num:.2f}")
    # === PERCENTAGE FORMATS ===
    if fmt == "percent0":
        return f"{num:.0f}%%"
    if fmt == "percent1":
        return f"{num:.1f}%%".replace('.', decimal_sep)
    if fmt == "percent2":
        return f"{num:.2f}%%".replace('.', decimal_sep)
    # === ABBREVIATED FORMATS ===
    if fmt == "abbreviated":
        if abs(num) &gt;= 1_000_000_000:
            return f"{num/1_000_000_000:.1f}B".replace('.', decimal_sep)
        elif abs(num) &gt;= 1_000_000:
            return f"{num/1_000_000:.1f}M".replace('.', decimal_sep)
        elif abs(num) &gt;= 1_000:
            return f"{num/1_000:.1f}K".replace('.', decimal_sep)
        else:
            return apply_separators(f"{num:.1f}")
    if fmt == "thousands":
        return f"{num/1_000:.1f}K".replace('.', decimal_sep)
    if fmt == "millions":
        return f"{num/1_000_000:.1f}M".replace('.', decimal_sep)
    # === CURRENCY FORMATS ===
    if fmt == "currency_usd":
        formatted = apply_separators(f"{num:.0f}")
        return f"${formatted}" if decimal_sep == "." else f"{formatted} $"
    if fmt == "currency_euro":
        formatted = apply_separators(f"{num:.0f}")
        return f"€{formatted}" if decimal_sep == "." else f"{formatted} €"
    if fmt == "currency_mad":
        formatted = apply_separators(f"{num:.0f}")
        return f"{formatted} DH"
    # === DEFAULT FALLBACK ===
    return apply_separators(f"{num:.1f}")
# PLOT SETUP
fig, ax = plt.subplots(figsize=FIGURE_SIZE, subplot_kw={'projection': 'polar'})
fig.set_dpi(FIGURE_DPI)
fig.patch.set_facecolor('white')
ax.set_facecolor('white')
# Configure polar plot
ax.set_theta_zero_location("E")
ax.set_theta_direction(1)
ax.set_ylim(0, 1.3)
# Remove all default elements
ax.set_yticks([])
ax.set_xticks([])
ax.spines['polar'].set_visible(False)
ax.grid(False)
# DRAW SECTION DONUT (THIN, REFERENCE LAYER)
cumulative_value = gauge_min
for section in sections:
    start_value = cumulative_value
    end_value = cumulative_value + section['span']
    start_angle = value_to_angle(start_value)
    end_angle = value_to_angle(end_value)
    # Convert to radians (swap start and end to draw correctly)
    start_rad = np.radians(start_angle)
    end_rad = np.radians(end_angle)
    # Create arc - linspace from end to start for correct direction
    theta = np.linspace(end_rad, start_rad, SEGMENT_RESOLUTION)
    ax.fill_between(
        theta,
        SECTION_INNER_RADIUS,
        SECTION_OUTER_RADIUS,
        color=section['color'],
        edgecolor=SECTION_EDGE_COLOR,
        linewidth=SECTION_EDGE_WIDTH,
        zorder=5
    )
    cumulative_value = end_value
# DRAW PROGRESS DONUT (THICK, UPPER LAYER)
# First draw the full background in light gray
full_start_rad = np.radians(GAUGE_ANGLE_START)
full_end_rad = np.radians(GAUGE_ANGLE_END)
full_theta = np.linspace(full_end_rad, full_start_rad, SEGMENT_RESOLUTION)
ax.fill_between(
    full_theta,
    PROGRESS_INNER_RADIUS,
    PROGRESS_OUTER_RADIUS,
    color=PROGRESS_BACKGROUND_COLOR,
    edgecolor=PROGRESS_EDGE_COLOR,
    linewidth=PROGRESS_EDGE_WIDTH,
    zorder=10
)
# Calculate progress percentage and get corresponding color
progress_value = max(gauge_min, min(gauge_value, gauge_max))
progress_color = get_section_color_for_value(progress_value)
# Draw progress arc from start to current value (on top of gray background)
start_angle = GAUGE_ANGLE_START
end_angle = value_to_angle(progress_value)
start_rad = np.radians(start_angle)
end_rad = np.radians(end_angle)
# Draw from end to start for correct direction
theta = np.linspace(end_rad, start_rad, SEGMENT_RESOLUTION)
ax.fill_between(
    theta,
    PROGRESS_INNER_RADIUS,
    PROGRESS_OUTER_RADIUS,
    color=progress_color,
    edgecolor=PROGRESS_EDGE_COLOR,
    linewidth=PROGRESS_EDGE_WIDTH,
    zorder=11
)
# DRAW VALUE LABEL
ax.text(
    np.radians(90),
    VALUE_LABEL_RADIUS,
    format_number(gauge_value, VALUE_LABEL_FORMAT),
    ha='center',
    va='center',
    fontsize=VALUE_LABEL_FONT_SIZE,
    fontweight=VALUE_LABEL_FONT_WEIGHT,
    color=VALUE_LABEL_COLOR,
    zorder=12
)
# DISPLAY
plt.tight_layout()
plt.show()</code>
    </pythonScript>
    <pythonScript>
      <code>import matplotlib.pyplot as plt
import numpy as np
# ==============================================================================
# CONFIGURATION
# ==============================================================================
# Visual Configuration
FIGURE_SIZE = (16,9) #16:9 aspect ratio
FIGURE_DPI = 300
GAUGE_INNER_RADIUS = 0.75
GAUGE_OUTER_RADIUS = 1.0
NEEDLE_TIP_RADIUS = 0.87
NEEDLE_PIVOT_RADIUS = 0.05
NEEDLE_COLOR = "#cc0000"
SEGMENT_EDGE_COLOR = "white"
SEGMENT_EDGE_WIDTH = 1
# Performance Configuration
SEGMENT_RESOLUTION = 100
NEEDLE_RESOLUTION = 100
# Label Configuration
LABEL_TEXT_RADIUS = 1.12
LABEL_FONT_SIZE_NORMAL = 8
LABEL_FONT_SIZE_MATCHED = 9
LABEL_LINE_SPACING = 1.15
MATCHED_LABEL_COLOR = "red"
NORMAL_LABEL_COLOR = "black"
# Pointer Configuration
POINTER_OUTER_RADIUS = 1.02
POINTER_INNER_RADIUS = 0.76
POINTER_LINE_WIDTH = 2.2
POINTER_COLOR_MATCHED = "#cc0000"
POINTER_COLOR_NORMAL = "#0D3512"
# Value Label Configuration
VALUE_LABEL_RADIUS = 0.24
VALUE_LABEL_FONT_SIZE = 17
VALUE_LABEL_COLOR = '#153D64'
VALUE_LABEL_PADDING = 0.35
VALUE_LABEL_BG_ALPHA = 0.87
# Color Palette
SEGMENT_COLORS = ["#eaf7e4", "#c6e6b8", "#a3da92", "#80cd6c", "#5dbf46", "#3aa52e"]
# Gauge Range
GAUGE_MIN_SCORE = 0.0
GAUGE_ANGLE_START = -90
GAUGE_ANGLE_END = 90
# ==============================================================================
# DATA LOADING
# ==============================================================================
value = float(xl(%P2%))
gauge_label = xl(%P3%)
project_milestone = xl(%P4%)
milestones_data = xl(%P5%, headers=False)
rows = milestones_data.values
if isinstance(rows[0][1], str):
    rows = rows[1:]
pairs = sorted([(str(r[0]), float(r[1])) for r in rows], key=lambda x: x[1])
labels, scores = zip(*pairs)
labels = list(labels)
scores = list(scores)
max_score = scores[-1]
score_range = max_score - GAUGE_MIN_SCORE
angle_range = GAUGE_ANGLE_END - GAUGE_ANGLE_START
project_milestone_lower = str(project_milestone).strip().lower()
# ==============================================================================
# HELPER FUNCTIONS
# ==============================================================================
def score_to_radians(v):
    """Convert score value to radians for polar plot positioning."""
    v = max(GAUGE_MIN_SCORE, min(v, max_score))
    normalized = (v - GAUGE_MIN_SCORE) / score_range
    degrees = GAUGE_ANGLE_START + (normalized * angle_range)
    return np.radians(degrees)
def format_number(num):
    """Format number as integer if whole, otherwise use comma as decimal separator."""
    return str(int(num)) if num == int(num) else str(num).replace('.', ',')
def get_straight_line_in_polar(start_theta, start_r, end_theta, end_r, points):
    """Generate straight line in Cartesian space and convert to polar coordinates."""
    x1 = start_r * np.cos(start_theta - np.pi/2)
    y1 = start_r * np.sin(start_theta - np.pi/2)
    x2 = end_r * np.cos(end_theta - np.pi/2)
    y2 = end_r * np.sin(end_theta - np.pi/2)
    x_vals = np.linspace(x1, x2, points)
    y_vals = np.linspace(y1, y2, points)
    r_vals = np.sqrt(x_vals**2 + y_vals**2)
    theta_vals = np.arctan2(y_vals, x_vals) + np.pi/2
    return theta_vals, r_vals
# ==============================================================================
# PLOT SETUP
# ==============================================================================
fig, ax = plt.subplots(figsize=FIGURE_SIZE, subplot_kw={'projection': 'polar'})
fig.set_dpi(FIGURE_DPI)
fig.patch.set_facecolor('none')
ax.set_theta_zero_location("N")
ax.set_theta_direction(-1)
ax.set_thetamin(GAUGE_ANGLE_START)
ax.set_thetamax(GAUGE_ANGLE_END)
ax.set_ylim(0, 1.8)
ax.set_yticks([])
ax.set_xticks([])
ax.spines['polar'].set_visible(False)
ax.grid(False)
ax.set_frame_on(False)
ax.set_facecolor('none')
ax.axis('off')
# ==============================================================================
# DRAW GAUGE SEGMENTS
# ==============================================================================
segment_boundaries = [GAUGE_MIN_SCORE] + scores
num_segments = len(segment_boundaries) - 1
boundaries_rad = [score_to_radians(val) for val in segment_boundaries]
for i in range(num_segments):
    start_rad = boundaries_rad[i]
    end_rad = boundaries_rad[i + 1]
    theta = np.linspace(start_rad, end_rad, SEGMENT_RESOLUTION)
    color = SEGMENT_COLORS[i %% len(SEGMENT_COLORS)]
    ax.fill_between(
        theta, 
        GAUGE_INNER_RADIUS, 
        GAUGE_OUTER_RADIUS,
        color=color,
        edgecolor=SEGMENT_EDGE_COLOR,
        linewidth=SEGMENT_EDGE_WIDTH
    )
# ==============================================================================
# DRAW MILESTONE LABELS WITH POINTERS
# ==============================================================================
num_labels = len(labels)
for idx in range(num_labels - 1):
    lbl = labels[idx]
    ang_rad = boundaries_rad[idx + 1]
    is_matched = (str(lbl).strip().lower() == project_milestone_lower)
    pointer_color = POINTER_COLOR_MATCHED if is_matched else POINTER_COLOR_NORMAL
    ax.plot(
        [ang_rad, ang_rad],
        [POINTER_OUTER_RADIUS, POINTER_INNER_RADIUS],
        color=pointer_color,
        linewidth=POINTER_LINE_WIDTH,
        zorder=8
    )
    full_text = f"{lbl}\n{format_number(scores[idx])}"
    ax.text(
        ang_rad, 
        LABEL_TEXT_RADIUS, 
        full_text,
        fontsize=LABEL_FONT_SIZE_MATCHED if is_matched else LABEL_FONT_SIZE_NORMAL,
        color=MATCHED_LABEL_COLOR if is_matched else NORMAL_LABEL_COLOR,
        ha="center",
        va="center",
        fontweight="bold",
        linespacing=LABEL_LINE_SPACING
    )
# ==============================================================================
# DRAW NEEDLE
# ==============================================================================
needle_angle_rad = score_to_radians(value)
needle_theta, needle_r = get_straight_line_in_polar(
    start_theta=0,
    start_r=NEEDLE_PIVOT_RADIUS,
    end_theta=needle_angle_rad,
    end_r=NEEDLE_TIP_RADIUS,
    points=NEEDLE_RESOLUTION
)
ax.plot(needle_theta, needle_r, color=NEEDLE_COLOR, lw=1.8, zorder=10)
ax.scatter(
    0, 
    NEEDLE_PIVOT_RADIUS, 
    s=100, 
    color=NEEDLE_COLOR, 
    zorder=11,
    edgecolor='white',
    linewidth=0
)
# ==============================================================================
# DRAW VALUE LABEL
# ==============================================================================
ax.text(
    0, 
    VALUE_LABEL_RADIUS,
    gauge_label,
    ha='center',
    va='center',
    fontsize=VALUE_LABEL_FONT_SIZE,
    fontweight='bold',
    color=VALUE_LABEL_COLOR,
    zorder=12,
    linespacing=1.3,
    bbox=dict(
        boxstyle=f"round,pad={VALUE_LABEL_PADDING}",
        facecolor="white",
        edgecolor="none",
        alpha=VALUE_LABEL_BG_ALPHA
    )
)
# ==============================================================================
# DISPLAY
# ==============================================================================
plt.subplots_adjust(0, 0, 1, 1)
plt.show()</code>
    </pythonScript>
  </pythonScripts>
</python>
</file>

<file path=xl/sharedStrings.xml><?xml version="1.0" encoding="utf-8"?>
<sst xmlns="http://schemas.openxmlformats.org/spreadsheetml/2006/main" count="30" uniqueCount="29">
  <si>
    <t>Setup</t>
  </si>
  <si>
    <t>Gauge Label</t>
  </si>
  <si>
    <t>Gauge Formula</t>
  </si>
  <si>
    <t>Milestone</t>
  </si>
  <si>
    <t>Target</t>
  </si>
  <si>
    <t>Section Description</t>
  </si>
  <si>
    <t>Section Span</t>
  </si>
  <si>
    <t>Section Color</t>
  </si>
  <si>
    <t>section 1</t>
  </si>
  <si>
    <t>section 2</t>
  </si>
  <si>
    <t>section 3</t>
  </si>
  <si>
    <t>#D33234</t>
  </si>
  <si>
    <t>#FFC10A</t>
  </si>
  <si>
    <t>#509D44</t>
  </si>
  <si>
    <t>Gauge Code</t>
  </si>
  <si>
    <t>Label Format</t>
  </si>
  <si>
    <t>Decimal Separator</t>
  </si>
  <si>
    <t>dot</t>
  </si>
  <si>
    <t>Config</t>
  </si>
  <si>
    <t xml:space="preserve">Initiation  </t>
  </si>
  <si>
    <t xml:space="preserve">Planning  </t>
  </si>
  <si>
    <t xml:space="preserve">Execution  </t>
  </si>
  <si>
    <t xml:space="preserve">Monitoring  </t>
  </si>
  <si>
    <t xml:space="preserve">Controlling  </t>
  </si>
  <si>
    <t>Closure</t>
  </si>
  <si>
    <t>Metric</t>
  </si>
  <si>
    <t>percent0</t>
  </si>
  <si>
    <t>Project Progress</t>
  </si>
  <si>
    <t>Current Milestone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</si>
</sst>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€-2]\ #,##0;[Red]\-[$€-2]\ #,##0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10"/>
      <color rgb="FF0000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C0000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0" tint="-4.9989318521683403E-2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D33234"/>
        <bgColor indexed="64"/>
      </patternFill>
    </fill>
    <fill>
      <patternFill patternType="solid">
        <fgColor rgb="FFFFC10A"/>
        <bgColor indexed="64"/>
      </patternFill>
    </fill>
    <fill>
      <patternFill patternType="solid">
        <fgColor rgb="FF509D44"/>
        <bgColor indexed="64"/>
      </patternFill>
    </fill>
  </fills>
  <borders count="18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164" fontId="3" fillId="0" borderId="0"/>
    <xf numFmtId="0" fontId="4" fillId="0" borderId="0"/>
    <xf numFmtId="0" fontId="3" fillId="0" borderId="0"/>
  </cellStyleXfs>
  <cellXfs count="31">
    <xf numFmtId="0" fontId="0" fillId="0" borderId="0" xfId="0"/>
    <xf numFmtId="0" fontId="5" fillId="5" borderId="4" xfId="0" applyFont="1" applyFill="1" applyBorder="1"/>
    <xf numFmtId="0" fontId="0" fillId="5" borderId="4" xfId="0" applyFill="1" applyBorder="1"/>
    <xf numFmtId="0" fontId="5" fillId="6" borderId="3" xfId="0" applyFont="1" applyFill="1" applyBorder="1"/>
    <xf numFmtId="0" fontId="6" fillId="0" borderId="3" xfId="0" applyFont="1" applyBorder="1" applyAlignment="1">
      <alignment horizontal="center" vertical="center"/>
    </xf>
    <xf numFmtId="0" fontId="5" fillId="7" borderId="1" xfId="0" applyFont="1" applyFill="1" applyBorder="1"/>
    <xf numFmtId="0" fontId="2" fillId="8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5" fillId="2" borderId="5" xfId="0" applyFont="1" applyFill="1" applyBorder="1"/>
    <xf numFmtId="0" fontId="5" fillId="2" borderId="6" xfId="0" applyFont="1" applyFill="1" applyBorder="1"/>
    <xf numFmtId="0" fontId="0" fillId="3" borderId="7" xfId="0" applyFill="1" applyBorder="1"/>
    <xf numFmtId="0" fontId="0" fillId="0" borderId="2" xfId="0" applyBorder="1"/>
    <xf numFmtId="0" fontId="0" fillId="3" borderId="8" xfId="0" applyFill="1" applyBorder="1"/>
    <xf numFmtId="0" fontId="0" fillId="0" borderId="9" xfId="0" applyBorder="1"/>
    <xf numFmtId="0" fontId="0" fillId="0" borderId="0" xfId="0" quotePrefix="1"/>
    <xf numFmtId="0" fontId="7" fillId="0" borderId="3" xfId="0" applyFont="1" applyBorder="1" applyAlignment="1">
      <alignment horizontal="center" vertical="center"/>
    </xf>
    <xf numFmtId="0" fontId="0" fillId="0" borderId="3" xfId="0" applyBorder="1"/>
    <xf numFmtId="0" fontId="5" fillId="2" borderId="3" xfId="0" applyFont="1" applyFill="1" applyBorder="1"/>
    <xf numFmtId="0" fontId="5" fillId="7" borderId="3" xfId="0" applyFont="1" applyFill="1" applyBorder="1"/>
    <xf numFmtId="0" fontId="8" fillId="2" borderId="10" xfId="0" applyFont="1" applyFill="1" applyBorder="1"/>
    <xf numFmtId="0" fontId="8" fillId="2" borderId="11" xfId="0" applyFont="1" applyFill="1" applyBorder="1"/>
    <xf numFmtId="0" fontId="8" fillId="2" borderId="12" xfId="0" applyFont="1" applyFill="1" applyBorder="1"/>
    <xf numFmtId="0" fontId="0" fillId="0" borderId="13" xfId="0" applyBorder="1"/>
    <xf numFmtId="0" fontId="0" fillId="0" borderId="15" xfId="0" applyBorder="1"/>
    <xf numFmtId="0" fontId="0" fillId="0" borderId="16" xfId="0" applyBorder="1"/>
    <xf numFmtId="0" fontId="0" fillId="4" borderId="3" xfId="0" applyFill="1" applyBorder="1" applyAlignment="1">
      <alignment wrapText="1"/>
    </xf>
    <xf numFmtId="0" fontId="2" fillId="0" borderId="3" xfId="0" applyFont="1" applyBorder="1" applyAlignment="1">
      <alignment horizontal="center" vertical="center"/>
    </xf>
    <xf numFmtId="0" fontId="9" fillId="9" borderId="4" xfId="0" applyFont="1" applyFill="1" applyBorder="1"/>
    <xf numFmtId="0" fontId="0" fillId="10" borderId="14" xfId="0" applyFill="1" applyBorder="1"/>
    <xf numFmtId="0" fontId="0" fillId="11" borderId="14" xfId="0" applyFill="1" applyBorder="1"/>
    <xf numFmtId="0" fontId="0" fillId="12" borderId="17" xfId="0" applyFill="1" applyBorder="1"/>
  </cellXfs>
  <cellStyles count="5">
    <cellStyle name="AutoFormat-Optionen 2 3" xfId="2" xr:uid="{B3D8A56D-CBFA-48B8-9F92-A55C7156EE99}"/>
    <cellStyle name="Normal" xfId="0" builtinId="0"/>
    <cellStyle name="Normal 4 2" xfId="3" xr:uid="{189EF969-F21F-4783-9FBB-DAA3B381F556}"/>
    <cellStyle name="Normale 2" xfId="4" xr:uid="{8AA52D59-9CDA-4D9F-A5C9-E4F7459691B6}"/>
    <cellStyle name="Percentuale 2" xfId="1" xr:uid="{C3B48764-40B2-448F-8A26-F2569ACC6DC7}"/>
  </cellStyles>
  <dxfs count="13">
    <dxf>
      <border diagonalUp="0" diagonalDown="0">
        <left style="thin">
          <color theme="0" tint="-0.34998626667073579"/>
        </left>
        <right/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ill>
        <patternFill patternType="solid">
          <fgColor indexed="64"/>
          <bgColor theme="0" tint="-4.9989318521683403E-2"/>
        </patternFill>
      </fill>
      <border diagonalUp="0" diagonalDown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border>
        <top style="thin">
          <color rgb="FFA6A6A6"/>
        </top>
      </border>
    </dxf>
    <dxf>
      <border diagonalUp="0" diagonalDown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>
        <bottom style="thin">
          <color rgb="FFA6A6A6"/>
        </bottom>
      </border>
    </dxf>
    <dxf>
      <font>
        <b/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3" tint="9.9978637043366805E-2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/>
        <bottom/>
        <vertical style="thin">
          <color theme="0" tint="-0.34998626667073579"/>
        </vertical>
        <horizontal style="thin">
          <color theme="0" tint="-0.34998626667073579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3" tint="9.9978637043366805E-2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Medium9"/>
  <colors>
    <mruColors>
      <color rgb="FFF4BD9E"/>
      <color rgb="FFF1AD8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microsoft.com/office/2017/06/relationships/rdSupportingPropertyBag" Target="richData/rdsupportingpropertybag.xml"/><Relationship Id="rId1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12" Type="http://schemas.microsoft.com/office/2017/06/relationships/rdSupportingPropertyBagStructure" Target="richData/rdsupportingpropertybagstructure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microsoft.com/office/2017/06/relationships/richStyles" Target="richData/richStyles.xml"/><Relationship Id="rId5" Type="http://schemas.openxmlformats.org/officeDocument/2006/relationships/sharedStrings" Target="sharedStrings.xml"/><Relationship Id="rId15" Type="http://schemas.openxmlformats.org/officeDocument/2006/relationships/calcChain" Target="calcChain.xml"/><Relationship Id="rId10" Type="http://schemas.microsoft.com/office/2017/06/relationships/rdArray" Target="richData/rdarray.xml"/><Relationship Id="rId19" Type="http://schemas.microsoft.com/office/2023/09/relationships/Python" Target="python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Relationship Id="rId14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6349</xdr:colOff>
      <xdr:row>3</xdr:row>
      <xdr:rowOff>120650</xdr:rowOff>
    </xdr:from>
    <xdr:to>
      <xdr:col>7</xdr:col>
      <xdr:colOff>507429</xdr:colOff>
      <xdr:row>17</xdr:row>
      <xdr:rowOff>11430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640EBD-AA08-4ABE-83C6-85BB313DA2D0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'Python Gauge'!L5"/>
            </a:ext>
          </a:extLst>
        </xdr:cNvPicPr>
      </xdr:nvPicPr>
      <xdr:blipFill rotWithShape="1">
        <a:blip xmlns:r="http://schemas.openxmlformats.org/officeDocument/2006/relationships" r:embed="rId1"/>
        <a:srcRect l="-1" t="5087" r="-795" b="43879"/>
        <a:stretch>
          <a:fillRect/>
        </a:stretch>
      </xdr:blipFill>
      <xdr:spPr>
        <a:xfrm>
          <a:off x="298449" y="698500"/>
          <a:ext cx="4876230" cy="2468880"/>
        </a:xfrm>
        <a:prstGeom prst="rect">
          <a:avLst/>
        </a:prstGeom>
        <a:ln w="3175">
          <a:solidFill>
            <a:schemeClr val="bg1">
              <a:lumMod val="75000"/>
            </a:schemeClr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138545</xdr:colOff>
      <xdr:row>43</xdr:row>
      <xdr:rowOff>0</xdr:rowOff>
    </xdr:from>
    <xdr:to>
      <xdr:col>4</xdr:col>
      <xdr:colOff>323273</xdr:colOff>
      <xdr:row>43</xdr:row>
      <xdr:rowOff>178954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7866E19-17BB-4B9E-B04C-91F7885819B6}"/>
            </a:ext>
          </a:extLst>
        </xdr:cNvPr>
        <xdr:cNvSpPr/>
      </xdr:nvSpPr>
      <xdr:spPr>
        <a:xfrm>
          <a:off x="2837295" y="7867650"/>
          <a:ext cx="181553" cy="182129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 editAs="oneCell">
    <xdr:from>
      <xdr:col>0</xdr:col>
      <xdr:colOff>400050</xdr:colOff>
      <xdr:row>3</xdr:row>
      <xdr:rowOff>114300</xdr:rowOff>
    </xdr:from>
    <xdr:to>
      <xdr:col>7</xdr:col>
      <xdr:colOff>401855</xdr:colOff>
      <xdr:row>16</xdr:row>
      <xdr:rowOff>184149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09A1C5C-3684-4EAB-A624-54EEF5B16740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'Gauge with Needle'!L4"/>
            </a:ext>
          </a:extLst>
        </xdr:cNvPicPr>
      </xdr:nvPicPr>
      <xdr:blipFill rotWithShape="1">
        <a:blip xmlns:r="http://schemas.openxmlformats.org/officeDocument/2006/relationships" r:embed="rId1"/>
        <a:srcRect l="12973" t="38095" r="11843" b="25134"/>
        <a:stretch>
          <a:fillRect/>
        </a:stretch>
      </xdr:blipFill>
      <xdr:spPr>
        <a:xfrm>
          <a:off x="400050" y="711200"/>
          <a:ext cx="5081805" cy="2482849"/>
        </a:xfrm>
        <a:prstGeom prst="rect">
          <a:avLst/>
        </a:prstGeom>
        <a:ln w="3175">
          <a:solidFill>
            <a:schemeClr val="bg1">
              <a:lumMod val="75000"/>
            </a:schemeClr>
          </a:solidFill>
        </a:ln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2">
  <a r="2">
    <v>2670</v>
    <v>2670</v>
  </a>
  <a r="2">
    <v>2760</v>
    <v>2760</v>
  </a>
</arrayData>
</file>

<file path=xl/richData/rdrichvalue.xml><?xml version="1.0" encoding="utf-8"?>
<rvData xmlns="http://schemas.microsoft.com/office/spreadsheetml/2017/richdata" count="8">
  <rv s="0">
    <v>0</v>
    <v>9</v>
  </rv>
  <rv s="1">
    <v>0</v>
  </rv>
  <rv s="2">
    <v>Image</v>
    <v>0</v>
    <v>0</v>
    <v>1</v>
  </rv>
  <rv s="3">
    <v>&lt;class 'PIL.PngImagePlugin.PngImageFile'&gt;</v>
    <v>PngImageFile</v>
    <v>&lt;PIL.PngImagePlugin.PngImageFile image mode=RGBA size=2670x2670 at 0x7F4C718E6660&gt;</v>
    <v>2</v>
    <v>1</v>
  </rv>
  <rv s="0">
    <v>1</v>
    <v>9</v>
  </rv>
  <rv s="1">
    <v>1</v>
  </rv>
  <rv s="2">
    <v>Image</v>
    <v>0</v>
    <v>4</v>
    <v>5</v>
  </rv>
  <rv s="3">
    <v>&lt;class 'PIL.PngImagePlugin.PngImageFile'&gt;</v>
    <v>PngImageFile</v>
    <v>&lt;PIL.PngImagePlugin.PngImageFile image mode=RGBA size=2760x2760 at 0x7F4C718C89B0&gt;</v>
    <v>6</v>
    <v>1</v>
  </rv>
</rvData>
</file>

<file path=xl/richData/rdrichvaluestructure.xml><?xml version="1.0" encoding="utf-8"?>
<rvStructures xmlns="http://schemas.microsoft.com/office/spreadsheetml/2017/richdata" count="4">
  <s t="_localImage">
    <k n="_rvRel:LocalImageIdentifier" t="i"/>
    <k n="CalcOrigin" t="i"/>
  </s>
  <s t="_array">
    <k n="array" t="a"/>
  </s>
  <s t="_entity">
    <k n="_DisplayString" t="s"/>
    <k n="_Format" t="spb"/>
    <k n="image" t="r"/>
    <k n="size" t="r"/>
  </s>
  <s t="_python">
    <k n="Python_type" t="s"/>
    <k n="Python_typeName" t="s"/>
    <k n="Python_str" t="s"/>
    <k n="preview" t="r"/>
    <k n="_Provider" t="spb"/>
  </s>
</rvStructures>
</file>

<file path=xl/richData/rdsupportingpropertybag.xml><?xml version="1.0" encoding="utf-8"?>
<supportingPropertyBags xmlns="http://schemas.microsoft.com/office/spreadsheetml/2017/richdata2">
  <spbData count="2">
    <spb s="0">
      <v>1</v>
    </spb>
    <spb s="1">
      <v>https://www.anaconda.com/excel</v>
      <v>https://res.cdn.office.net/officepysvc/prod-service/anacondalogo.png</v>
      <v>Python provided by Anaconda</v>
    </spb>
  </spbData>
</supportingPropertyBags>
</file>

<file path=xl/richData/rdsupportingpropertybagstructure.xml><?xml version="1.0" encoding="utf-8"?>
<spbStructures xmlns="http://schemas.microsoft.com/office/spreadsheetml/2017/richdata2" count="2">
  <s>
    <k n="image" t="i"/>
  </s>
  <s>
    <k n="link" t="s"/>
    <k n="logo" t="s"/>
    <k n="name" t="s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richProperties>
    <rPr n="IsHeroField" t="b"/>
  </richProperties>
  <richStyles>
    <rSty>
      <rpv i="0">1</rpv>
    </rSty>
  </richStyles>
</richStyleSheet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292357-F07D-4FF4-B5B2-57A1258DAF47}" name="gaugeSections" displayName="gaugeSections" ref="K7:M10" totalsRowShown="0" headerRowDxfId="12" headerRowBorderDxfId="11" tableBorderDxfId="10" totalsRowBorderDxfId="9">
  <autoFilter ref="K7:M10" xr:uid="{EC3B1365-5F1A-4B14-8C1A-6FB0776EFFDF}">
    <filterColumn colId="0" hiddenButton="1"/>
    <filterColumn colId="1" hiddenButton="1"/>
    <filterColumn colId="2" hiddenButton="1"/>
  </autoFilter>
  <tableColumns count="3">
    <tableColumn id="1" xr3:uid="{6C054BD3-B50F-4039-88B5-11231E12516A}" name="Section Description" dataDxfId="8"/>
    <tableColumn id="2" xr3:uid="{F550BFE5-DBCB-4495-8A59-ABA510C5E930}" name="Section Span" dataDxfId="7"/>
    <tableColumn id="3" xr3:uid="{1330E422-4C93-4425-A02F-ADC51B633086}" name="Section Color" dataDxfId="6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A54EDFC-6746-4262-BB2F-7114F3367860}" name="milestonesTargets3" displayName="milestonesTargets3" ref="K6:L12" totalsRowShown="0" headerRowDxfId="5" headerRowBorderDxfId="4" tableBorderDxfId="3" totalsRowBorderDxfId="2">
  <autoFilter ref="K6:L12" xr:uid="{D1F81913-EB5C-4D3D-8C20-10D571724F86}"/>
  <tableColumns count="2">
    <tableColumn id="1" xr3:uid="{6ECBED23-2CC3-483B-B250-0BCFDC14DE7E}" name="Milestone" dataDxfId="1"/>
    <tableColumn id="2" xr3:uid="{E397D12F-DD4D-40F4-967B-456FF6A09500}" name="Target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84151-B2CF-4CC2-8C79-CA5A4426E7FA}">
  <sheetPr>
    <tabColor theme="6" tint="0.39997558519241921"/>
  </sheetPr>
  <dimension ref="B1:N10"/>
  <sheetViews>
    <sheetView showGridLines="0" tabSelected="1" zoomScaleNormal="100" workbookViewId="0">
      <selection activeCell="I15" sqref="I15"/>
    </sheetView>
  </sheetViews>
  <sheetFormatPr defaultRowHeight="14.5" outlineLevelCol="1" x14ac:dyDescent="0.35"/>
  <cols>
    <col min="1" max="1" width="4.1796875" customWidth="1"/>
    <col min="2" max="2" width="16.90625" customWidth="1"/>
    <col min="3" max="3" width="10.81640625" customWidth="1"/>
    <col min="10" max="10" width="5" customWidth="1"/>
    <col min="11" max="11" width="19.7265625" customWidth="1" outlineLevel="1"/>
    <col min="12" max="12" width="14.08984375" customWidth="1" outlineLevel="1"/>
    <col min="13" max="13" width="14" customWidth="1" outlineLevel="1"/>
    <col min="14" max="14" width="8.7265625" customWidth="1" outlineLevel="1"/>
  </cols>
  <sheetData>
    <row r="1" spans="2:14" ht="15" thickBot="1" x14ac:dyDescent="0.4">
      <c r="K1" s="27" t="s">
        <v>18</v>
      </c>
      <c r="L1" s="27"/>
      <c r="M1" s="27"/>
      <c r="N1" s="27"/>
    </row>
    <row r="2" spans="2:14" ht="16" x14ac:dyDescent="0.35">
      <c r="B2" s="17" t="s">
        <v>25</v>
      </c>
      <c r="C2" s="4">
        <v>70</v>
      </c>
    </row>
    <row r="3" spans="2:14" x14ac:dyDescent="0.35">
      <c r="K3" s="18" t="s">
        <v>15</v>
      </c>
      <c r="L3" s="26" t="s">
        <v>26</v>
      </c>
    </row>
    <row r="4" spans="2:14" x14ac:dyDescent="0.35">
      <c r="K4" s="18" t="s">
        <v>16</v>
      </c>
      <c r="L4" s="26" t="s">
        <v>17</v>
      </c>
    </row>
    <row r="5" spans="2:14" x14ac:dyDescent="0.35">
      <c r="K5" s="18" t="s">
        <v>14</v>
      </c>
      <c r="L5" s="25" t="e" cm="1" vm="1">
        <f t="array" ref="L5">_xlfn._xlws.PY(0,1,labelFormat,gaugeValue,gaugeSections[],decimalSep)</f>
        <v>#VALUE!</v>
      </c>
    </row>
    <row r="7" spans="2:14" x14ac:dyDescent="0.35">
      <c r="K7" s="19" t="s">
        <v>5</v>
      </c>
      <c r="L7" s="20" t="s">
        <v>6</v>
      </c>
      <c r="M7" s="21" t="s">
        <v>7</v>
      </c>
    </row>
    <row r="8" spans="2:14" x14ac:dyDescent="0.35">
      <c r="K8" s="22" t="s">
        <v>8</v>
      </c>
      <c r="L8" s="16">
        <v>60</v>
      </c>
      <c r="M8" s="28" t="s">
        <v>11</v>
      </c>
    </row>
    <row r="9" spans="2:14" x14ac:dyDescent="0.35">
      <c r="K9" s="22" t="s">
        <v>9</v>
      </c>
      <c r="L9" s="16">
        <v>20</v>
      </c>
      <c r="M9" s="29" t="s">
        <v>12</v>
      </c>
    </row>
    <row r="10" spans="2:14" x14ac:dyDescent="0.35">
      <c r="K10" s="23" t="s">
        <v>10</v>
      </c>
      <c r="L10" s="24">
        <v>20</v>
      </c>
      <c r="M10" s="30" t="s">
        <v>13</v>
      </c>
    </row>
  </sheetData>
  <dataValidations count="2">
    <dataValidation type="list" allowBlank="1" showInputMessage="1" showErrorMessage="1" sqref="L4" xr:uid="{02711BA4-9936-49DA-A1C6-1ABC3E34648C}">
      <formula1>"dot,comma"</formula1>
    </dataValidation>
    <dataValidation type="list" allowBlank="1" showInputMessage="1" sqref="L3" xr:uid="{FFFD65D3-C12C-47C4-BF5A-7832ECCA32E8}">
      <formula1>"integer,decimal1,decimal2,percent0,percent1,percent2,abbreviated,thousands,millions,currency_usd,currency_euro,currency_mad"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9DBAF-831E-438E-9080-FEDDADF271CB}">
  <sheetPr codeName="Sheet1">
    <tabColor rgb="FFC00000"/>
  </sheetPr>
  <dimension ref="A1:L13"/>
  <sheetViews>
    <sheetView showGridLines="0" zoomScaleNormal="100" workbookViewId="0">
      <selection activeCell="J16" sqref="J16"/>
    </sheetView>
  </sheetViews>
  <sheetFormatPr defaultRowHeight="14.5" outlineLevelCol="1" x14ac:dyDescent="0.35"/>
  <cols>
    <col min="1" max="1" width="6.1796875" customWidth="1"/>
    <col min="2" max="2" width="15.81640625" bestFit="1" customWidth="1"/>
    <col min="3" max="3" width="12.54296875" customWidth="1"/>
    <col min="4" max="4" width="4.1796875" customWidth="1"/>
    <col min="5" max="5" width="15.7265625" bestFit="1" customWidth="1"/>
    <col min="6" max="6" width="9.54296875" customWidth="1"/>
    <col min="8" max="8" width="8.81640625" bestFit="1" customWidth="1"/>
    <col min="9" max="9" width="8.81640625" customWidth="1"/>
    <col min="11" max="11" width="13.453125" bestFit="1" customWidth="1" outlineLevel="1"/>
    <col min="12" max="12" width="35.1796875" bestFit="1" customWidth="1" outlineLevel="1"/>
  </cols>
  <sheetData>
    <row r="1" spans="1:12" ht="15" thickBot="1" x14ac:dyDescent="0.4">
      <c r="K1" s="1" t="s">
        <v>0</v>
      </c>
      <c r="L1" s="2"/>
    </row>
    <row r="2" spans="1:12" ht="16" x14ac:dyDescent="0.35">
      <c r="B2" s="3" t="s">
        <v>28</v>
      </c>
      <c r="C2" s="15" t="s">
        <v>21</v>
      </c>
    </row>
    <row r="3" spans="1:12" ht="16" x14ac:dyDescent="0.35">
      <c r="B3" s="3" t="s">
        <v>27</v>
      </c>
      <c r="C3" s="4">
        <v>20</v>
      </c>
      <c r="K3" s="5" t="s">
        <v>1</v>
      </c>
      <c r="L3" s="6" t="str">
        <f>"Progress = " &amp; progressValue &amp; "%"</f>
        <v>Progress = 20%</v>
      </c>
    </row>
    <row r="4" spans="1:12" ht="16" x14ac:dyDescent="0.35">
      <c r="K4" s="5" t="s">
        <v>2</v>
      </c>
      <c r="L4" s="7" t="e" cm="1" vm="2">
        <f t="array" ref="L4">_xlfn._xlws.PY(1,1,progressValue,gaugeLabel,projectMilestone,milestonesTargets3[])</f>
        <v>#VALUE!</v>
      </c>
    </row>
    <row r="6" spans="1:12" x14ac:dyDescent="0.35">
      <c r="K6" s="8" t="s">
        <v>3</v>
      </c>
      <c r="L6" s="9" t="s">
        <v>4</v>
      </c>
    </row>
    <row r="7" spans="1:12" x14ac:dyDescent="0.35">
      <c r="K7" s="10" t="s">
        <v>19</v>
      </c>
      <c r="L7" s="11">
        <v>10</v>
      </c>
    </row>
    <row r="8" spans="1:12" x14ac:dyDescent="0.35">
      <c r="K8" s="10" t="s">
        <v>20</v>
      </c>
      <c r="L8" s="11">
        <v>30</v>
      </c>
    </row>
    <row r="9" spans="1:12" x14ac:dyDescent="0.35">
      <c r="K9" s="10" t="s">
        <v>21</v>
      </c>
      <c r="L9" s="11">
        <v>70</v>
      </c>
    </row>
    <row r="10" spans="1:12" x14ac:dyDescent="0.35">
      <c r="K10" s="10" t="s">
        <v>22</v>
      </c>
      <c r="L10" s="11">
        <v>85</v>
      </c>
    </row>
    <row r="11" spans="1:12" x14ac:dyDescent="0.35">
      <c r="K11" s="10" t="s">
        <v>23</v>
      </c>
      <c r="L11" s="11">
        <v>95</v>
      </c>
    </row>
    <row r="12" spans="1:12" x14ac:dyDescent="0.35">
      <c r="K12" s="12" t="s">
        <v>24</v>
      </c>
      <c r="L12" s="13">
        <v>100</v>
      </c>
    </row>
    <row r="13" spans="1:12" x14ac:dyDescent="0.35">
      <c r="A13" s="14"/>
    </row>
  </sheetData>
  <dataValidations count="2">
    <dataValidation type="list" allowBlank="1" showInputMessage="1" showErrorMessage="1" sqref="C2" xr:uid="{6805238A-CCC1-4E2A-8D7F-0FEE40CF9D00}">
      <formula1>milestonesCol</formula1>
    </dataValidation>
    <dataValidation type="decimal" operator="greaterThanOrEqual" allowBlank="1" showInputMessage="1" showErrorMessage="1" sqref="C3" xr:uid="{83FE0491-A485-425D-A193-9E16CF71FB1A}">
      <formula1>0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E6BD9A4131F643B83F3A414BD09610" ma:contentTypeVersion="10" ma:contentTypeDescription="Create a new document." ma:contentTypeScope="" ma:versionID="66b92ac81dc46abe347cd61e71ed21c7">
  <xsd:schema xmlns:xsd="http://www.w3.org/2001/XMLSchema" xmlns:xs="http://www.w3.org/2001/XMLSchema" xmlns:p="http://schemas.microsoft.com/office/2006/metadata/properties" xmlns:ns2="de9cabbe-f01c-4dfe-8340-9afd4602749f" xmlns:ns3="9bf347c1-334c-4e4f-ab1e-7c4fbdc12d32" targetNamespace="http://schemas.microsoft.com/office/2006/metadata/properties" ma:root="true" ma:fieldsID="85e0f52af91f01b0ad6a758e7698a745" ns2:_="" ns3:_="">
    <xsd:import namespace="de9cabbe-f01c-4dfe-8340-9afd4602749f"/>
    <xsd:import namespace="9bf347c1-334c-4e4f-ab1e-7c4fbdc12d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9cabbe-f01c-4dfe-8340-9afd460274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f347c1-334c-4e4f-ab1e-7c4fbdc12d3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F4A9092-9418-4AE7-A6D0-24D95998C58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E97C5F9-2737-4D5D-A958-D673D4E207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e9cabbe-f01c-4dfe-8340-9afd4602749f"/>
    <ds:schemaRef ds:uri="9bf347c1-334c-4e4f-ab1e-7c4fbdc12d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2F40C8D-2572-4AA3-8F6C-2FEDAE050FCD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7</vt:i4>
      </vt:variant>
    </vt:vector>
  </HeadingPairs>
  <TitlesOfParts>
    <vt:vector size="9" baseType="lpstr">
      <vt:lpstr>Python Gauge</vt:lpstr>
      <vt:lpstr>Gauge with Needle</vt:lpstr>
      <vt:lpstr>decimalSep</vt:lpstr>
      <vt:lpstr>gaugeLabel</vt:lpstr>
      <vt:lpstr>gaugeValue</vt:lpstr>
      <vt:lpstr>labelFormat</vt:lpstr>
      <vt:lpstr>milestonesCol</vt:lpstr>
      <vt:lpstr>progressValue</vt:lpstr>
      <vt:lpstr>projectMilestone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DOMENICO TODARO</dc:creator>
  <cp:keywords/>
  <dc:description/>
  <cp:lastModifiedBy>MOHAMED ES SALEMY (EXTERNAL)</cp:lastModifiedBy>
  <cp:revision/>
  <dcterms:created xsi:type="dcterms:W3CDTF">2025-07-09T11:49:58Z</dcterms:created>
  <dcterms:modified xsi:type="dcterms:W3CDTF">2025-11-23T18:34:47Z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0x01010011E6BD9A4131F643B83F3A414BD09610</vt:lpwstr>
  </property>
  <property fmtid="{D5CDD505-2E9C-101B-9397-08002B2CF9AE}" pid="3" name="xd_ProgID">
    <vt:lpwstr/>
  </property>
  <property fmtid="{D5CDD505-2E9C-101B-9397-08002B2CF9AE}" pid="4" name="ComplianceAssetId">
    <vt:lpwstr/>
  </property>
  <property fmtid="{D5CDD505-2E9C-101B-9397-08002B2CF9AE}" pid="5" name="TemplateUrl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xd_Signature">
    <vt:bool>false</vt:bool>
  </property>
  <property fmtid="{D5CDD505-2E9C-101B-9397-08002B2CF9AE}" pid="9" name="SV_QUERY_LIST_4F35BF76-6C0D-4D9B-82B2-816C12CF3733">
    <vt:lpwstr>empty_477D106A-C0D6-4607-AEBD-E2C9D60EA279</vt:lpwstr>
  </property>
  <property fmtid="{D5CDD505-2E9C-101B-9397-08002B2CF9AE}" pid="10" name="SV_HIDDEN_GRID_QUERY_LIST_4F35BF76-6C0D-4D9B-82B2-816C12CF3733">
    <vt:lpwstr>empty_477D106A-C0D6-4607-AEBD-E2C9D60EA279</vt:lpwstr>
  </property>
  <property fmtid="{D5CDD505-2E9C-101B-9397-08002B2CF9AE}" pid="11" name="MSIP_Label_725ca717-11da-4935-b601-f527b9741f2e_Enabled">
    <vt:lpwstr>true</vt:lpwstr>
  </property>
  <property fmtid="{D5CDD505-2E9C-101B-9397-08002B2CF9AE}" pid="12" name="MSIP_Label_725ca717-11da-4935-b601-f527b9741f2e_SetDate">
    <vt:lpwstr>2025-09-08T06:37:56Z</vt:lpwstr>
  </property>
  <property fmtid="{D5CDD505-2E9C-101B-9397-08002B2CF9AE}" pid="13" name="MSIP_Label_725ca717-11da-4935-b601-f527b9741f2e_Method">
    <vt:lpwstr>Standard</vt:lpwstr>
  </property>
  <property fmtid="{D5CDD505-2E9C-101B-9397-08002B2CF9AE}" pid="14" name="MSIP_Label_725ca717-11da-4935-b601-f527b9741f2e_Name">
    <vt:lpwstr>C2 - Internal</vt:lpwstr>
  </property>
  <property fmtid="{D5CDD505-2E9C-101B-9397-08002B2CF9AE}" pid="15" name="MSIP_Label_725ca717-11da-4935-b601-f527b9741f2e_SiteId">
    <vt:lpwstr>d852d5cd-724c-4128-8812-ffa5db3f8507</vt:lpwstr>
  </property>
  <property fmtid="{D5CDD505-2E9C-101B-9397-08002B2CF9AE}" pid="16" name="MSIP_Label_725ca717-11da-4935-b601-f527b9741f2e_ActionId">
    <vt:lpwstr>4f495bd4-5a36-41a8-a47f-fa9ca6a6dbe4</vt:lpwstr>
  </property>
  <property fmtid="{D5CDD505-2E9C-101B-9397-08002B2CF9AE}" pid="17" name="MSIP_Label_725ca717-11da-4935-b601-f527b9741f2e_ContentBits">
    <vt:lpwstr>0</vt:lpwstr>
  </property>
  <property fmtid="{D5CDD505-2E9C-101B-9397-08002B2CF9AE}" pid="18" name="MSIP_Label_725ca717-11da-4935-b601-f527b9741f2e_Tag">
    <vt:lpwstr>10, 3, 0, 2</vt:lpwstr>
  </property>
  <property fmtid="{D5CDD505-2E9C-101B-9397-08002B2CF9AE}" pid="19" name="MY2" linkTarget="Prop_MY2">
    <vt:r8>0</vt:r8>
  </property>
</Properties>
</file>